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Gant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<sst xmlns="http://schemas.openxmlformats.org/spreadsheetml/2006/main" count="413" uniqueCount="178">
  <si>
    <t xml:space="preserve">CIS L1 Server Hardening — Engineering Timeline (2 weeks)</t>
  </si>
  <si>
    <t xml:space="preserve">Start: Monday, 20 April 2026    |    End: Friday, 01 May 2026    |    Scope: configuration-layer hardening + SCAP scan + vendor report</t>
  </si>
  <si>
    <t xml:space="preserve">Day</t>
  </si>
  <si>
    <t xml:space="preserve">Date</t>
  </si>
  <si>
    <t xml:space="preserve">Week</t>
  </si>
  <si>
    <t xml:space="preserve">Phase</t>
  </si>
  <si>
    <t xml:space="preserve">Task</t>
  </si>
  <si>
    <t xml:space="preserve">Target</t>
  </si>
  <si>
    <t xml:space="preserve">Effort (hrs)</t>
  </si>
  <si>
    <t xml:space="preserve">Dependency</t>
  </si>
  <si>
    <t xml:space="preserve">Deliverable</t>
  </si>
  <si>
    <t xml:space="preserve">Mon 20 Apr</t>
  </si>
  <si>
    <t xml:space="preserve">Week 1</t>
  </si>
  <si>
    <t xml:space="preserve">Canary wrap-up</t>
  </si>
  <si>
    <t xml:space="preserve">Complete SCAP scan on .52 (Ubuntu 22.04 canary)</t>
  </si>
  <si>
    <t xml:space="preserve">172.16.102.52</t>
  </si>
  <si>
    <t xml:space="preserve">-</t>
  </si>
  <si>
    <t xml:space="preserve">Scan report, pass/fail counts</t>
  </si>
  <si>
    <t xml:space="preserve">GitHub repo setup: README, .gitignore, LICENSE, scrub IPs</t>
  </si>
  <si>
    <t xml:space="preserve">local</t>
  </si>
  <si>
    <t xml:space="preserve">Private repo, first commit pushed</t>
  </si>
  <si>
    <t xml:space="preserve">Update HARDENING_REPORT.md with both canary scan numbers</t>
  </si>
  <si>
    <t xml:space="preserve">Both canary scans</t>
  </si>
  <si>
    <t xml:space="preserve">Updated report artifact</t>
  </si>
  <si>
    <t xml:space="preserve">Tue 21 Apr</t>
  </si>
  <si>
    <t xml:space="preserve">DR rollout</t>
  </si>
  <si>
    <t xml:space="preserve">Proxmox snapshots for all 16 DR hosts</t>
  </si>
  <si>
    <t xml:space="preserve">DR fleet</t>
  </si>
  <si>
    <t xml:space="preserve">Snapshot log</t>
  </si>
  <si>
    <t xml:space="preserve">Ansible ping sanity + --check --diff dry-run on DR</t>
  </si>
  <si>
    <t xml:space="preserve">Snapshots done</t>
  </si>
  <si>
    <t xml:space="preserve">Dry-run output captured</t>
  </si>
  <si>
    <t xml:space="preserve">Apply site-offline.yml across DR phases 2-7</t>
  </si>
  <si>
    <t xml:space="preserve">DR fleet (16 hosts)</t>
  </si>
  <si>
    <t xml:space="preserve">Dry-run clean</t>
  </si>
  <si>
    <t xml:space="preserve">Ansible run logs, failed=0</t>
  </si>
  <si>
    <t xml:space="preserve">SSH reachability + service health spot-checks</t>
  </si>
  <si>
    <t xml:space="preserve">Apply complete</t>
  </si>
  <si>
    <t xml:space="preserve">Smoke test log</t>
  </si>
  <si>
    <t xml:space="preserve">Wed 22 Apr</t>
  </si>
  <si>
    <t xml:space="preserve">DR scan</t>
  </si>
  <si>
    <t xml:space="preserve">Replicate oscap + SSG 0.1.80 install on DR (ForceIPv4 apt)</t>
  </si>
  <si>
    <t xml:space="preserve">DR applied</t>
  </si>
  <si>
    <t xml:space="preserve">oscap present on all DR hosts</t>
  </si>
  <si>
    <t xml:space="preserve">Run SCAP scans across all 16 DR hosts</t>
  </si>
  <si>
    <t xml:space="preserve">oscap installed</t>
  </si>
  <si>
    <t xml:space="preserve">16 × HTML + XML reports</t>
  </si>
  <si>
    <t xml:space="preserve">Aggregate DR pass/fail numbers into summary table</t>
  </si>
  <si>
    <t xml:space="preserve">DR scans done</t>
  </si>
  <si>
    <t xml:space="preserve">DR_SCAN_SUMMARY.csv</t>
  </si>
  <si>
    <t xml:space="preserve">Thu 23 Apr</t>
  </si>
  <si>
    <t xml:space="preserve">Prod rollout</t>
  </si>
  <si>
    <t xml:space="preserve">Proxmox snapshots for Phase 1-3 prod hosts</t>
  </si>
  <si>
    <t xml:space="preserve">monitoring, k3s</t>
  </si>
  <si>
    <t xml:space="preserve">CTO go-ahead</t>
  </si>
  <si>
    <t xml:space="preserve">Phase 1: monitoring (172.16.102.13)</t>
  </si>
  <si>
    <t xml:space="preserve">1 host</t>
  </si>
  <si>
    <t xml:space="preserve">Snapshots</t>
  </si>
  <si>
    <t xml:space="preserve">failed=0, monitoring reachable</t>
  </si>
  <si>
    <t xml:space="preserve">Phase 2: k3s workers (kubectl drain between hosts)</t>
  </si>
  <si>
    <t xml:space="preserve">3 hosts</t>
  </si>
  <si>
    <t xml:space="preserve">Phase 1 green</t>
  </si>
  <si>
    <t xml:space="preserve">All workers hardened, pods Ready</t>
  </si>
  <si>
    <t xml:space="preserve">Phase 3: k3s masters (check etcd health between hosts)</t>
  </si>
  <si>
    <t xml:space="preserve">Phase 2 green</t>
  </si>
  <si>
    <t xml:space="preserve">All masters hardened, etcd 3/3</t>
  </si>
  <si>
    <t xml:space="preserve">Prod scan</t>
  </si>
  <si>
    <t xml:space="preserve">SCAP scan on Phase 1-3 prod hosts</t>
  </si>
  <si>
    <t xml:space="preserve">7 hosts</t>
  </si>
  <si>
    <t xml:space="preserve">Phases 1-3 applied</t>
  </si>
  <si>
    <t xml:space="preserve">7 × scan reports</t>
  </si>
  <si>
    <t xml:space="preserve">Fri 24 Apr</t>
  </si>
  <si>
    <t xml:space="preserve">Proxmox snapshots for Phase 4-5 prod hosts</t>
  </si>
  <si>
    <t xml:space="preserve">mongo-rabbit, proxysql</t>
  </si>
  <si>
    <t xml:space="preserve">Phase 4: mongo+rabbit nodes (one at a time, watch cluster)</t>
  </si>
  <si>
    <t xml:space="preserve">All 3 hardened, cluster healthy</t>
  </si>
  <si>
    <t xml:space="preserve">Phase 5: proxysql standby -&gt; VIP test -&gt; active</t>
  </si>
  <si>
    <t xml:space="preserve">2 hosts</t>
  </si>
  <si>
    <t xml:space="preserve">Phase 4 green</t>
  </si>
  <si>
    <t xml:space="preserve">Both hardened, VIP reachable</t>
  </si>
  <si>
    <t xml:space="preserve">SCAP scan on Phase 4-5 prod hosts</t>
  </si>
  <si>
    <t xml:space="preserve">5 hosts</t>
  </si>
  <si>
    <t xml:space="preserve">Phases 4-5 applied</t>
  </si>
  <si>
    <t xml:space="preserve">5 × scan reports</t>
  </si>
  <si>
    <t xml:space="preserve">Mon 27 Apr</t>
  </si>
  <si>
    <t xml:space="preserve">Week 2</t>
  </si>
  <si>
    <t xml:space="preserve">Proxmox snapshots for Phase 6-7 prod hosts</t>
  </si>
  <si>
    <t xml:space="preserve">mysql, haproxy</t>
  </si>
  <si>
    <t xml:space="preserve">Phase 6: MySQL InnoDB Cluster — secondaries then primary</t>
  </si>
  <si>
    <t xml:space="preserve">Cluster ONLINE, all nodes hardened</t>
  </si>
  <si>
    <t xml:space="preserve">Phase 7: HAProxy BACKUP then MASTER (VIP move verified)</t>
  </si>
  <si>
    <t xml:space="preserve">Phase 6 green</t>
  </si>
  <si>
    <t xml:space="preserve">VIP stable, both hardened</t>
  </si>
  <si>
    <t xml:space="preserve">SCAP scan on Phase 6-7 prod hosts</t>
  </si>
  <si>
    <t xml:space="preserve">Phases 6-7 applied</t>
  </si>
  <si>
    <t xml:space="preserve">Tue 28 Apr</t>
  </si>
  <si>
    <t xml:space="preserve">Buffer</t>
  </si>
  <si>
    <t xml:space="preserve">Buffer / catchup for any incidents, re-runs, fixes</t>
  </si>
  <si>
    <t xml:space="preserve">as needed</t>
  </si>
  <si>
    <t xml:space="preserve">Issue log (if any)</t>
  </si>
  <si>
    <t xml:space="preserve">Wed 29 Apr</t>
  </si>
  <si>
    <t xml:space="preserve">Reporting</t>
  </si>
  <si>
    <t xml:space="preserve">Aggregate full-fleet scan numbers (17 or 38 hosts)</t>
  </si>
  <si>
    <t xml:space="preserve">All scans complete</t>
  </si>
  <si>
    <t xml:space="preserve">FLEET_SCAN_AGGREGATE.csv</t>
  </si>
  <si>
    <t xml:space="preserve">Investigate outliers (hosts scoring below peer average)</t>
  </si>
  <si>
    <t xml:space="preserve">Aggregate ready</t>
  </si>
  <si>
    <t xml:space="preserve">Outlier notes</t>
  </si>
  <si>
    <t xml:space="preserve">Draft vendor report: methodology, before/after, appendix</t>
  </si>
  <si>
    <t xml:space="preserve">VENDOR_REPORT.docx draft v1</t>
  </si>
  <si>
    <t xml:space="preserve">Thu 30 Apr</t>
  </si>
  <si>
    <t xml:space="preserve">Internal CTO review of vendor report</t>
  </si>
  <si>
    <t xml:space="preserve">Draft v1</t>
  </si>
  <si>
    <t xml:space="preserve">Review feedback captured</t>
  </si>
  <si>
    <t xml:space="preserve">Revise vendor report based on CTO feedback</t>
  </si>
  <si>
    <t xml:space="preserve">Review feedback</t>
  </si>
  <si>
    <t xml:space="preserve">VENDOR_REPORT.docx v2</t>
  </si>
  <si>
    <t xml:space="preserve">Archive all scan XMLs + HTML reports to repo</t>
  </si>
  <si>
    <t xml:space="preserve">Repo committed and pushed</t>
  </si>
  <si>
    <t xml:space="preserve">Fri 01 May</t>
  </si>
  <si>
    <t xml:space="preserve">Deliver final vendor report + scan artifacts to vendor</t>
  </si>
  <si>
    <t xml:space="preserve">vendor</t>
  </si>
  <si>
    <t xml:space="preserve">Report v2 signed off</t>
  </si>
  <si>
    <t xml:space="preserve">Email + artifact links</t>
  </si>
  <si>
    <t xml:space="preserve">Closing documentation: re-scan runbook, onboarding notes</t>
  </si>
  <si>
    <t xml:space="preserve">RUNBOOK.md in repo</t>
  </si>
  <si>
    <t xml:space="preserve">Final retrospective + handoff</t>
  </si>
  <si>
    <t xml:space="preserve">Retro notes</t>
  </si>
  <si>
    <t xml:space="preserve">TOTAL EFFORT (hrs)</t>
  </si>
  <si>
    <t xml:space="preserve">Gantt view — 10 working days (Mon–Fri × 2 weeks)</t>
  </si>
  <si>
    <t xml:space="preserve">D1
Mon 20</t>
  </si>
  <si>
    <t xml:space="preserve">D2
Tue 21</t>
  </si>
  <si>
    <t xml:space="preserve">D3
Wed 22</t>
  </si>
  <si>
    <t xml:space="preserve">D4
Thu 23</t>
  </si>
  <si>
    <t xml:space="preserve">D5
Fri 24</t>
  </si>
  <si>
    <t xml:space="preserve">D6
Mon 27</t>
  </si>
  <si>
    <t xml:space="preserve">D7
Tue 28</t>
  </si>
  <si>
    <t xml:space="preserve">D8
Wed 29</t>
  </si>
  <si>
    <t xml:space="preserve">D9
Thu 30</t>
  </si>
  <si>
    <t xml:space="preserve">D10
Fri 01</t>
  </si>
  <si>
    <t xml:space="preserve">■</t>
  </si>
  <si>
    <t xml:space="preserve">Project summary</t>
  </si>
  <si>
    <t xml:space="preserve">Effort by phase</t>
  </si>
  <si>
    <t xml:space="preserve">Tasks</t>
  </si>
  <si>
    <t xml:space="preserve">% of total</t>
  </si>
  <si>
    <t xml:space="preserve">TOTAL</t>
  </si>
  <si>
    <t xml:space="preserve">Deliverables</t>
  </si>
  <si>
    <t xml:space="preserve">Target day</t>
  </si>
  <si>
    <t xml:space="preserve">GitHub repo (private) with Ansible role + inventories</t>
  </si>
  <si>
    <t xml:space="preserve">Day 1</t>
  </si>
  <si>
    <t xml:space="preserve">HARDENING_REPORT.md updated with canary scan numbers</t>
  </si>
  <si>
    <t xml:space="preserve">DR scan aggregate CSV</t>
  </si>
  <si>
    <t xml:space="preserve">Day 3</t>
  </si>
  <si>
    <t xml:space="preserve">All 16 DR hosts hardened, scanned</t>
  </si>
  <si>
    <t xml:space="preserve">All Ubuntu 24.04 prod hosts hardened + scanned</t>
  </si>
  <si>
    <t xml:space="preserve">Day 6</t>
  </si>
  <si>
    <t xml:space="preserve">Day 8</t>
  </si>
  <si>
    <t xml:space="preserve">VENDOR_REPORT.docx (final, CTO-signed off)</t>
  </si>
  <si>
    <t xml:space="preserve">Day 10</t>
  </si>
  <si>
    <t xml:space="preserve">RUNBOOK.md for future re-scans and new-host onboarding</t>
  </si>
  <si>
    <t xml:space="preserve">Risks &amp; mitigations</t>
  </si>
  <si>
    <t xml:space="preserve">Risk</t>
  </si>
  <si>
    <t xml:space="preserve">Likelihood</t>
  </si>
  <si>
    <t xml:space="preserve">Impact</t>
  </si>
  <si>
    <t xml:space="preserve">Mitigation</t>
  </si>
  <si>
    <t xml:space="preserve">Prod host misbehaves post-apply</t>
  </si>
  <si>
    <t xml:space="preserve">Low</t>
  </si>
  <si>
    <t xml:space="preserve">Medium</t>
  </si>
  <si>
    <t xml:space="preserve">Proxmox snapshot + revert; retry after fix</t>
  </si>
  <si>
    <t xml:space="preserve">Vendor disputes SSG vs their content</t>
  </si>
  <si>
    <t xml:space="preserve">Provide per-control breakdown; offer re-scan with matching content</t>
  </si>
  <si>
    <t xml:space="preserve">21 × Ubuntu 22.04 hosts out of scope</t>
  </si>
  <si>
    <t xml:space="preserve">Buffer day on D7 absorbs minor issues; bigger fallout pushes to week 3</t>
  </si>
  <si>
    <t xml:space="preserve">apt-dependent controls not applied</t>
  </si>
  <si>
    <t xml:space="preserve">High</t>
  </si>
  <si>
    <t xml:space="preserve">Explicitly scoped out; deferred to network fix workstream</t>
  </si>
  <si>
    <t xml:space="preserve">Reboot-dependent controls not active</t>
  </si>
  <si>
    <t xml:space="preserve">Noted in vendor report; activated at next kernel patch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</si>
</sst>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EFEFE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D9D2E9"/>
        <bgColor rgb="FFD9E1F2"/>
      </patternFill>
    </fill>
    <fill>
      <patternFill patternType="solid">
        <fgColor rgb="FFEFEFEF"/>
        <bgColor rgb="FFE2EFDA"/>
      </patternFill>
    </fill>
    <fill>
      <patternFill patternType="solid">
        <fgColor rgb="FFF4CCCC"/>
        <bgColor rgb="FFD9D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CE4D6"/>
      <rgbColor rgb="FFD9E1F2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5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5" t="s">
        <v>12</v>
      </c>
      <c r="D5" s="6" t="s">
        <v>13</v>
      </c>
      <c r="E5" s="7" t="s">
        <v>14</v>
      </c>
      <c r="F5" s="7" t="s">
        <v>15</v>
      </c>
      <c r="G5" s="4" t="n">
        <v>3</v>
      </c>
      <c r="H5" s="7" t="s">
        <v>16</v>
      </c>
      <c r="I5" s="7" t="s">
        <v>17</v>
      </c>
    </row>
    <row r="6" customFormat="false" ht="15" hidden="false" customHeight="false" outlineLevel="0" collapsed="false">
      <c r="A6" s="4" t="n">
        <v>1</v>
      </c>
      <c r="B6" s="4" t="s">
        <v>11</v>
      </c>
      <c r="C6" s="5" t="s">
        <v>12</v>
      </c>
      <c r="D6" s="6" t="s">
        <v>13</v>
      </c>
      <c r="E6" s="7" t="s">
        <v>18</v>
      </c>
      <c r="F6" s="7" t="s">
        <v>19</v>
      </c>
      <c r="G6" s="4" t="n">
        <v>2</v>
      </c>
      <c r="H6" s="7" t="s">
        <v>16</v>
      </c>
      <c r="I6" s="7" t="s">
        <v>20</v>
      </c>
    </row>
    <row r="7" customFormat="false" ht="15" hidden="false" customHeight="false" outlineLevel="0" collapsed="false">
      <c r="A7" s="4" t="n">
        <v>1</v>
      </c>
      <c r="B7" s="4" t="s">
        <v>11</v>
      </c>
      <c r="C7" s="5" t="s">
        <v>12</v>
      </c>
      <c r="D7" s="6" t="s">
        <v>13</v>
      </c>
      <c r="E7" s="7" t="s">
        <v>21</v>
      </c>
      <c r="F7" s="7" t="s">
        <v>19</v>
      </c>
      <c r="G7" s="4" t="n">
        <v>1</v>
      </c>
      <c r="H7" s="7" t="s">
        <v>22</v>
      </c>
      <c r="I7" s="7" t="s">
        <v>23</v>
      </c>
    </row>
    <row r="8" customFormat="false" ht="15" hidden="false" customHeight="false" outlineLevel="0" collapsed="false">
      <c r="A8" s="4" t="n">
        <v>2</v>
      </c>
      <c r="B8" s="4" t="s">
        <v>24</v>
      </c>
      <c r="C8" s="5" t="s">
        <v>12</v>
      </c>
      <c r="D8" s="8" t="s">
        <v>25</v>
      </c>
      <c r="E8" s="7" t="s">
        <v>26</v>
      </c>
      <c r="F8" s="7" t="s">
        <v>27</v>
      </c>
      <c r="G8" s="4" t="n">
        <v>1</v>
      </c>
      <c r="H8" s="7" t="s">
        <v>16</v>
      </c>
      <c r="I8" s="7" t="s">
        <v>28</v>
      </c>
    </row>
    <row r="9" customFormat="false" ht="15" hidden="false" customHeight="false" outlineLevel="0" collapsed="false">
      <c r="A9" s="4" t="n">
        <v>2</v>
      </c>
      <c r="B9" s="4" t="s">
        <v>24</v>
      </c>
      <c r="C9" s="5" t="s">
        <v>12</v>
      </c>
      <c r="D9" s="8" t="s">
        <v>25</v>
      </c>
      <c r="E9" s="7" t="s">
        <v>29</v>
      </c>
      <c r="F9" s="7" t="s">
        <v>27</v>
      </c>
      <c r="G9" s="4" t="n">
        <v>1</v>
      </c>
      <c r="H9" s="7" t="s">
        <v>30</v>
      </c>
      <c r="I9" s="7" t="s">
        <v>31</v>
      </c>
    </row>
    <row r="10" customFormat="false" ht="15" hidden="false" customHeight="false" outlineLevel="0" collapsed="false">
      <c r="A10" s="4" t="n">
        <v>2</v>
      </c>
      <c r="B10" s="4" t="s">
        <v>24</v>
      </c>
      <c r="C10" s="5" t="s">
        <v>12</v>
      </c>
      <c r="D10" s="8" t="s">
        <v>25</v>
      </c>
      <c r="E10" s="7" t="s">
        <v>32</v>
      </c>
      <c r="F10" s="7" t="s">
        <v>33</v>
      </c>
      <c r="G10" s="4" t="n">
        <v>4</v>
      </c>
      <c r="H10" s="7" t="s">
        <v>34</v>
      </c>
      <c r="I10" s="7" t="s">
        <v>35</v>
      </c>
    </row>
    <row r="11" customFormat="false" ht="15" hidden="false" customHeight="false" outlineLevel="0" collapsed="false">
      <c r="A11" s="4" t="n">
        <v>2</v>
      </c>
      <c r="B11" s="4" t="s">
        <v>24</v>
      </c>
      <c r="C11" s="5" t="s">
        <v>12</v>
      </c>
      <c r="D11" s="8" t="s">
        <v>25</v>
      </c>
      <c r="E11" s="7" t="s">
        <v>36</v>
      </c>
      <c r="F11" s="7" t="s">
        <v>27</v>
      </c>
      <c r="G11" s="4" t="n">
        <v>1</v>
      </c>
      <c r="H11" s="7" t="s">
        <v>37</v>
      </c>
      <c r="I11" s="7" t="s">
        <v>38</v>
      </c>
    </row>
    <row r="12" customFormat="false" ht="15" hidden="false" customHeight="false" outlineLevel="0" collapsed="false">
      <c r="A12" s="4" t="n">
        <v>3</v>
      </c>
      <c r="B12" s="4" t="s">
        <v>39</v>
      </c>
      <c r="C12" s="5" t="s">
        <v>12</v>
      </c>
      <c r="D12" s="9" t="s">
        <v>40</v>
      </c>
      <c r="E12" s="7" t="s">
        <v>41</v>
      </c>
      <c r="F12" s="7" t="s">
        <v>27</v>
      </c>
      <c r="G12" s="4" t="n">
        <v>2</v>
      </c>
      <c r="H12" s="7" t="s">
        <v>42</v>
      </c>
      <c r="I12" s="7" t="s">
        <v>43</v>
      </c>
    </row>
    <row r="13" customFormat="false" ht="15" hidden="false" customHeight="false" outlineLevel="0" collapsed="false">
      <c r="A13" s="4" t="n">
        <v>3</v>
      </c>
      <c r="B13" s="4" t="s">
        <v>39</v>
      </c>
      <c r="C13" s="5" t="s">
        <v>12</v>
      </c>
      <c r="D13" s="9" t="s">
        <v>40</v>
      </c>
      <c r="E13" s="7" t="s">
        <v>44</v>
      </c>
      <c r="F13" s="7" t="s">
        <v>27</v>
      </c>
      <c r="G13" s="4" t="n">
        <v>3</v>
      </c>
      <c r="H13" s="7" t="s">
        <v>45</v>
      </c>
      <c r="I13" s="7" t="s">
        <v>46</v>
      </c>
    </row>
    <row r="14" customFormat="false" ht="15" hidden="false" customHeight="false" outlineLevel="0" collapsed="false">
      <c r="A14" s="4" t="n">
        <v>3</v>
      </c>
      <c r="B14" s="4" t="s">
        <v>39</v>
      </c>
      <c r="C14" s="5" t="s">
        <v>12</v>
      </c>
      <c r="D14" s="9" t="s">
        <v>40</v>
      </c>
      <c r="E14" s="7" t="s">
        <v>47</v>
      </c>
      <c r="F14" s="7" t="s">
        <v>19</v>
      </c>
      <c r="G14" s="4" t="n">
        <v>2</v>
      </c>
      <c r="H14" s="7" t="s">
        <v>48</v>
      </c>
      <c r="I14" s="7" t="s">
        <v>49</v>
      </c>
    </row>
    <row r="15" customFormat="false" ht="15" hidden="false" customHeight="false" outlineLevel="0" collapsed="false">
      <c r="A15" s="4" t="n">
        <v>4</v>
      </c>
      <c r="B15" s="4" t="s">
        <v>50</v>
      </c>
      <c r="C15" s="5" t="s">
        <v>12</v>
      </c>
      <c r="D15" s="10" t="s">
        <v>51</v>
      </c>
      <c r="E15" s="7" t="s">
        <v>52</v>
      </c>
      <c r="F15" s="7" t="s">
        <v>53</v>
      </c>
      <c r="G15" s="4" t="n">
        <v>1</v>
      </c>
      <c r="H15" s="7" t="s">
        <v>54</v>
      </c>
      <c r="I15" s="7" t="s">
        <v>28</v>
      </c>
    </row>
    <row r="16" customFormat="false" ht="15" hidden="false" customHeight="false" outlineLevel="0" collapsed="false">
      <c r="A16" s="4" t="n">
        <v>4</v>
      </c>
      <c r="B16" s="4" t="s">
        <v>50</v>
      </c>
      <c r="C16" s="5" t="s">
        <v>12</v>
      </c>
      <c r="D16" s="10" t="s">
        <v>51</v>
      </c>
      <c r="E16" s="7" t="s">
        <v>55</v>
      </c>
      <c r="F16" s="7" t="s">
        <v>56</v>
      </c>
      <c r="G16" s="4" t="n">
        <v>1</v>
      </c>
      <c r="H16" s="7" t="s">
        <v>57</v>
      </c>
      <c r="I16" s="7" t="s">
        <v>58</v>
      </c>
    </row>
    <row r="17" customFormat="false" ht="15" hidden="false" customHeight="false" outlineLevel="0" collapsed="false">
      <c r="A17" s="4" t="n">
        <v>4</v>
      </c>
      <c r="B17" s="4" t="s">
        <v>50</v>
      </c>
      <c r="C17" s="5" t="s">
        <v>12</v>
      </c>
      <c r="D17" s="10" t="s">
        <v>51</v>
      </c>
      <c r="E17" s="7" t="s">
        <v>59</v>
      </c>
      <c r="F17" s="7" t="s">
        <v>60</v>
      </c>
      <c r="G17" s="4" t="n">
        <v>2</v>
      </c>
      <c r="H17" s="7" t="s">
        <v>61</v>
      </c>
      <c r="I17" s="7" t="s">
        <v>62</v>
      </c>
    </row>
    <row r="18" customFormat="false" ht="15" hidden="false" customHeight="false" outlineLevel="0" collapsed="false">
      <c r="A18" s="4" t="n">
        <v>4</v>
      </c>
      <c r="B18" s="4" t="s">
        <v>50</v>
      </c>
      <c r="C18" s="5" t="s">
        <v>12</v>
      </c>
      <c r="D18" s="10" t="s">
        <v>51</v>
      </c>
      <c r="E18" s="7" t="s">
        <v>63</v>
      </c>
      <c r="F18" s="7" t="s">
        <v>60</v>
      </c>
      <c r="G18" s="4" t="n">
        <v>2</v>
      </c>
      <c r="H18" s="7" t="s">
        <v>64</v>
      </c>
      <c r="I18" s="7" t="s">
        <v>65</v>
      </c>
    </row>
    <row r="19" customFormat="false" ht="15" hidden="false" customHeight="false" outlineLevel="0" collapsed="false">
      <c r="A19" s="4" t="n">
        <v>4</v>
      </c>
      <c r="B19" s="4" t="s">
        <v>50</v>
      </c>
      <c r="C19" s="5" t="s">
        <v>12</v>
      </c>
      <c r="D19" s="11" t="s">
        <v>66</v>
      </c>
      <c r="E19" s="7" t="s">
        <v>67</v>
      </c>
      <c r="F19" s="7" t="s">
        <v>68</v>
      </c>
      <c r="G19" s="4" t="n">
        <v>2</v>
      </c>
      <c r="H19" s="7" t="s">
        <v>69</v>
      </c>
      <c r="I19" s="7" t="s">
        <v>70</v>
      </c>
    </row>
    <row r="20" customFormat="false" ht="15" hidden="false" customHeight="false" outlineLevel="0" collapsed="false">
      <c r="A20" s="4" t="n">
        <v>5</v>
      </c>
      <c r="B20" s="4" t="s">
        <v>71</v>
      </c>
      <c r="C20" s="5" t="s">
        <v>12</v>
      </c>
      <c r="D20" s="10" t="s">
        <v>51</v>
      </c>
      <c r="E20" s="7" t="s">
        <v>72</v>
      </c>
      <c r="F20" s="7" t="s">
        <v>73</v>
      </c>
      <c r="G20" s="4" t="n">
        <v>1</v>
      </c>
      <c r="H20" s="7" t="s">
        <v>16</v>
      </c>
      <c r="I20" s="7" t="s">
        <v>28</v>
      </c>
    </row>
    <row r="21" customFormat="false" ht="15" hidden="false" customHeight="false" outlineLevel="0" collapsed="false">
      <c r="A21" s="4" t="n">
        <v>5</v>
      </c>
      <c r="B21" s="4" t="s">
        <v>71</v>
      </c>
      <c r="C21" s="5" t="s">
        <v>12</v>
      </c>
      <c r="D21" s="10" t="s">
        <v>51</v>
      </c>
      <c r="E21" s="7" t="s">
        <v>74</v>
      </c>
      <c r="F21" s="7" t="s">
        <v>60</v>
      </c>
      <c r="G21" s="4" t="n">
        <v>3</v>
      </c>
      <c r="H21" s="7" t="s">
        <v>57</v>
      </c>
      <c r="I21" s="7" t="s">
        <v>75</v>
      </c>
    </row>
    <row r="22" customFormat="false" ht="15" hidden="false" customHeight="false" outlineLevel="0" collapsed="false">
      <c r="A22" s="4" t="n">
        <v>5</v>
      </c>
      <c r="B22" s="4" t="s">
        <v>71</v>
      </c>
      <c r="C22" s="5" t="s">
        <v>12</v>
      </c>
      <c r="D22" s="10" t="s">
        <v>51</v>
      </c>
      <c r="E22" s="7" t="s">
        <v>76</v>
      </c>
      <c r="F22" s="7" t="s">
        <v>77</v>
      </c>
      <c r="G22" s="4" t="n">
        <v>2</v>
      </c>
      <c r="H22" s="7" t="s">
        <v>78</v>
      </c>
      <c r="I22" s="7" t="s">
        <v>79</v>
      </c>
    </row>
    <row r="23" customFormat="false" ht="15" hidden="false" customHeight="false" outlineLevel="0" collapsed="false">
      <c r="A23" s="4" t="n">
        <v>5</v>
      </c>
      <c r="B23" s="4" t="s">
        <v>71</v>
      </c>
      <c r="C23" s="5" t="s">
        <v>12</v>
      </c>
      <c r="D23" s="11" t="s">
        <v>66</v>
      </c>
      <c r="E23" s="7" t="s">
        <v>80</v>
      </c>
      <c r="F23" s="7" t="s">
        <v>81</v>
      </c>
      <c r="G23" s="4" t="n">
        <v>2</v>
      </c>
      <c r="H23" s="7" t="s">
        <v>82</v>
      </c>
      <c r="I23" s="7" t="s">
        <v>83</v>
      </c>
    </row>
    <row r="24" customFormat="false" ht="15" hidden="false" customHeight="false" outlineLevel="0" collapsed="false">
      <c r="A24" s="4" t="n">
        <v>6</v>
      </c>
      <c r="B24" s="4" t="s">
        <v>84</v>
      </c>
      <c r="C24" s="5" t="s">
        <v>85</v>
      </c>
      <c r="D24" s="10" t="s">
        <v>51</v>
      </c>
      <c r="E24" s="7" t="s">
        <v>86</v>
      </c>
      <c r="F24" s="7" t="s">
        <v>87</v>
      </c>
      <c r="G24" s="4" t="n">
        <v>1</v>
      </c>
      <c r="H24" s="7" t="s">
        <v>16</v>
      </c>
      <c r="I24" s="7" t="s">
        <v>28</v>
      </c>
    </row>
    <row r="25" customFormat="false" ht="15" hidden="false" customHeight="false" outlineLevel="0" collapsed="false">
      <c r="A25" s="4" t="n">
        <v>6</v>
      </c>
      <c r="B25" s="4" t="s">
        <v>84</v>
      </c>
      <c r="C25" s="5" t="s">
        <v>85</v>
      </c>
      <c r="D25" s="10" t="s">
        <v>51</v>
      </c>
      <c r="E25" s="7" t="s">
        <v>88</v>
      </c>
      <c r="F25" s="7" t="s">
        <v>60</v>
      </c>
      <c r="G25" s="4" t="n">
        <v>3</v>
      </c>
      <c r="H25" s="7" t="s">
        <v>57</v>
      </c>
      <c r="I25" s="7" t="s">
        <v>89</v>
      </c>
    </row>
    <row r="26" customFormat="false" ht="15" hidden="false" customHeight="false" outlineLevel="0" collapsed="false">
      <c r="A26" s="4" t="n">
        <v>6</v>
      </c>
      <c r="B26" s="4" t="s">
        <v>84</v>
      </c>
      <c r="C26" s="5" t="s">
        <v>85</v>
      </c>
      <c r="D26" s="10" t="s">
        <v>51</v>
      </c>
      <c r="E26" s="7" t="s">
        <v>90</v>
      </c>
      <c r="F26" s="7" t="s">
        <v>77</v>
      </c>
      <c r="G26" s="4" t="n">
        <v>2</v>
      </c>
      <c r="H26" s="7" t="s">
        <v>91</v>
      </c>
      <c r="I26" s="7" t="s">
        <v>92</v>
      </c>
    </row>
    <row r="27" customFormat="false" ht="15" hidden="false" customHeight="false" outlineLevel="0" collapsed="false">
      <c r="A27" s="4" t="n">
        <v>6</v>
      </c>
      <c r="B27" s="4" t="s">
        <v>84</v>
      </c>
      <c r="C27" s="5" t="s">
        <v>85</v>
      </c>
      <c r="D27" s="11" t="s">
        <v>66</v>
      </c>
      <c r="E27" s="7" t="s">
        <v>93</v>
      </c>
      <c r="F27" s="7" t="s">
        <v>81</v>
      </c>
      <c r="G27" s="4" t="n">
        <v>2</v>
      </c>
      <c r="H27" s="7" t="s">
        <v>94</v>
      </c>
      <c r="I27" s="7" t="s">
        <v>83</v>
      </c>
    </row>
    <row r="28" customFormat="false" ht="15" hidden="false" customHeight="false" outlineLevel="0" collapsed="false">
      <c r="A28" s="4" t="n">
        <v>7</v>
      </c>
      <c r="B28" s="4" t="s">
        <v>95</v>
      </c>
      <c r="C28" s="5" t="s">
        <v>85</v>
      </c>
      <c r="D28" s="12" t="s">
        <v>96</v>
      </c>
      <c r="E28" s="7" t="s">
        <v>97</v>
      </c>
      <c r="F28" s="7" t="s">
        <v>98</v>
      </c>
      <c r="G28" s="4" t="n">
        <v>8</v>
      </c>
      <c r="H28" s="7" t="s">
        <v>16</v>
      </c>
      <c r="I28" s="7" t="s">
        <v>99</v>
      </c>
    </row>
    <row r="29" customFormat="false" ht="15" hidden="false" customHeight="false" outlineLevel="0" collapsed="false">
      <c r="A29" s="4" t="n">
        <v>8</v>
      </c>
      <c r="B29" s="4" t="s">
        <v>100</v>
      </c>
      <c r="C29" s="5" t="s">
        <v>85</v>
      </c>
      <c r="D29" s="13" t="s">
        <v>101</v>
      </c>
      <c r="E29" s="7" t="s">
        <v>102</v>
      </c>
      <c r="F29" s="7" t="s">
        <v>19</v>
      </c>
      <c r="G29" s="4" t="n">
        <v>3</v>
      </c>
      <c r="H29" s="7" t="s">
        <v>103</v>
      </c>
      <c r="I29" s="7" t="s">
        <v>104</v>
      </c>
    </row>
    <row r="30" customFormat="false" ht="15" hidden="false" customHeight="false" outlineLevel="0" collapsed="false">
      <c r="A30" s="4" t="n">
        <v>8</v>
      </c>
      <c r="B30" s="4" t="s">
        <v>100</v>
      </c>
      <c r="C30" s="5" t="s">
        <v>85</v>
      </c>
      <c r="D30" s="13" t="s">
        <v>101</v>
      </c>
      <c r="E30" s="7" t="s">
        <v>105</v>
      </c>
      <c r="F30" s="7" t="s">
        <v>19</v>
      </c>
      <c r="G30" s="4" t="n">
        <v>2</v>
      </c>
      <c r="H30" s="7" t="s">
        <v>106</v>
      </c>
      <c r="I30" s="7" t="s">
        <v>107</v>
      </c>
    </row>
    <row r="31" customFormat="false" ht="15" hidden="false" customHeight="false" outlineLevel="0" collapsed="false">
      <c r="A31" s="4" t="n">
        <v>8</v>
      </c>
      <c r="B31" s="4" t="s">
        <v>100</v>
      </c>
      <c r="C31" s="5" t="s">
        <v>85</v>
      </c>
      <c r="D31" s="13" t="s">
        <v>101</v>
      </c>
      <c r="E31" s="7" t="s">
        <v>108</v>
      </c>
      <c r="F31" s="7" t="s">
        <v>19</v>
      </c>
      <c r="G31" s="4" t="n">
        <v>3</v>
      </c>
      <c r="H31" s="7" t="s">
        <v>106</v>
      </c>
      <c r="I31" s="7" t="s">
        <v>109</v>
      </c>
    </row>
    <row r="32" customFormat="false" ht="15" hidden="false" customHeight="false" outlineLevel="0" collapsed="false">
      <c r="A32" s="4" t="n">
        <v>9</v>
      </c>
      <c r="B32" s="4" t="s">
        <v>110</v>
      </c>
      <c r="C32" s="5" t="s">
        <v>85</v>
      </c>
      <c r="D32" s="13" t="s">
        <v>101</v>
      </c>
      <c r="E32" s="7" t="s">
        <v>111</v>
      </c>
      <c r="F32" s="7" t="s">
        <v>19</v>
      </c>
      <c r="G32" s="4" t="n">
        <v>2</v>
      </c>
      <c r="H32" s="7" t="s">
        <v>112</v>
      </c>
      <c r="I32" s="7" t="s">
        <v>113</v>
      </c>
    </row>
    <row r="33" customFormat="false" ht="15" hidden="false" customHeight="false" outlineLevel="0" collapsed="false">
      <c r="A33" s="4" t="n">
        <v>9</v>
      </c>
      <c r="B33" s="4" t="s">
        <v>110</v>
      </c>
      <c r="C33" s="5" t="s">
        <v>85</v>
      </c>
      <c r="D33" s="13" t="s">
        <v>101</v>
      </c>
      <c r="E33" s="7" t="s">
        <v>114</v>
      </c>
      <c r="F33" s="7" t="s">
        <v>19</v>
      </c>
      <c r="G33" s="4" t="n">
        <v>3</v>
      </c>
      <c r="H33" s="7" t="s">
        <v>115</v>
      </c>
      <c r="I33" s="7" t="s">
        <v>116</v>
      </c>
    </row>
    <row r="34" customFormat="false" ht="15" hidden="false" customHeight="false" outlineLevel="0" collapsed="false">
      <c r="A34" s="4" t="n">
        <v>9</v>
      </c>
      <c r="B34" s="4" t="s">
        <v>110</v>
      </c>
      <c r="C34" s="5" t="s">
        <v>85</v>
      </c>
      <c r="D34" s="13" t="s">
        <v>101</v>
      </c>
      <c r="E34" s="7" t="s">
        <v>117</v>
      </c>
      <c r="F34" s="7" t="s">
        <v>19</v>
      </c>
      <c r="G34" s="4" t="n">
        <v>1</v>
      </c>
      <c r="H34" s="7" t="s">
        <v>16</v>
      </c>
      <c r="I34" s="7" t="s">
        <v>118</v>
      </c>
    </row>
    <row r="35" customFormat="false" ht="15" hidden="false" customHeight="false" outlineLevel="0" collapsed="false">
      <c r="A35" s="4" t="n">
        <v>10</v>
      </c>
      <c r="B35" s="4" t="s">
        <v>119</v>
      </c>
      <c r="C35" s="5" t="s">
        <v>85</v>
      </c>
      <c r="D35" s="13" t="s">
        <v>101</v>
      </c>
      <c r="E35" s="7" t="s">
        <v>120</v>
      </c>
      <c r="F35" s="7" t="s">
        <v>121</v>
      </c>
      <c r="G35" s="4" t="n">
        <v>1</v>
      </c>
      <c r="H35" s="7" t="s">
        <v>122</v>
      </c>
      <c r="I35" s="7" t="s">
        <v>123</v>
      </c>
    </row>
    <row r="36" customFormat="false" ht="15" hidden="false" customHeight="false" outlineLevel="0" collapsed="false">
      <c r="A36" s="4" t="n">
        <v>10</v>
      </c>
      <c r="B36" s="4" t="s">
        <v>119</v>
      </c>
      <c r="C36" s="5" t="s">
        <v>85</v>
      </c>
      <c r="D36" s="13" t="s">
        <v>101</v>
      </c>
      <c r="E36" s="7" t="s">
        <v>124</v>
      </c>
      <c r="F36" s="7" t="s">
        <v>19</v>
      </c>
      <c r="G36" s="4" t="n">
        <v>3</v>
      </c>
      <c r="H36" s="7" t="s">
        <v>16</v>
      </c>
      <c r="I36" s="7" t="s">
        <v>125</v>
      </c>
    </row>
    <row r="37" customFormat="false" ht="15" hidden="false" customHeight="false" outlineLevel="0" collapsed="false">
      <c r="A37" s="4" t="n">
        <v>10</v>
      </c>
      <c r="B37" s="4" t="s">
        <v>119</v>
      </c>
      <c r="C37" s="5" t="s">
        <v>85</v>
      </c>
      <c r="D37" s="13" t="s">
        <v>101</v>
      </c>
      <c r="E37" s="7" t="s">
        <v>126</v>
      </c>
      <c r="F37" s="7" t="s">
        <v>19</v>
      </c>
      <c r="G37" s="4" t="n">
        <v>2</v>
      </c>
      <c r="H37" s="7" t="s">
        <v>16</v>
      </c>
      <c r="I37" s="7" t="s">
        <v>127</v>
      </c>
    </row>
    <row r="38" customFormat="false" ht="15" hidden="false" customHeight="false" outlineLevel="0" collapsed="false">
      <c r="F38" s="14" t="s">
        <v>128</v>
      </c>
      <c r="G38" s="15" t="n">
        <f aca="false">SUM(G5:G37)</f>
        <v>72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12" min="3" style="0" width="10"/>
  </cols>
  <sheetData>
    <row r="1" customFormat="false" ht="17.3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0" hidden="false" customHeight="true" outlineLevel="0" collapsed="false">
      <c r="A3" s="3" t="s">
        <v>6</v>
      </c>
      <c r="B3" s="3" t="s">
        <v>5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</row>
    <row r="4" customFormat="false" ht="15" hidden="false" customHeight="false" outlineLevel="0" collapsed="false">
      <c r="A4" s="7" t="s">
        <v>14</v>
      </c>
      <c r="B4" s="16" t="s">
        <v>13</v>
      </c>
      <c r="C4" s="17" t="s">
        <v>140</v>
      </c>
      <c r="D4" s="18"/>
      <c r="E4" s="18"/>
      <c r="F4" s="18"/>
      <c r="G4" s="18"/>
      <c r="H4" s="18"/>
      <c r="I4" s="18"/>
      <c r="J4" s="18"/>
      <c r="K4" s="18"/>
      <c r="L4" s="18"/>
    </row>
    <row r="5" customFormat="false" ht="15" hidden="false" customHeight="false" outlineLevel="0" collapsed="false">
      <c r="A5" s="7" t="s">
        <v>18</v>
      </c>
      <c r="B5" s="16" t="s">
        <v>13</v>
      </c>
      <c r="C5" s="17" t="s">
        <v>140</v>
      </c>
      <c r="D5" s="18"/>
      <c r="E5" s="18"/>
      <c r="F5" s="18"/>
      <c r="G5" s="18"/>
      <c r="H5" s="18"/>
      <c r="I5" s="18"/>
      <c r="J5" s="18"/>
      <c r="K5" s="18"/>
      <c r="L5" s="18"/>
    </row>
    <row r="6" customFormat="false" ht="15" hidden="false" customHeight="false" outlineLevel="0" collapsed="false">
      <c r="A6" s="7" t="s">
        <v>21</v>
      </c>
      <c r="B6" s="16" t="s">
        <v>13</v>
      </c>
      <c r="C6" s="17" t="s">
        <v>140</v>
      </c>
      <c r="D6" s="18"/>
      <c r="E6" s="18"/>
      <c r="F6" s="18"/>
      <c r="G6" s="18"/>
      <c r="H6" s="18"/>
      <c r="I6" s="18"/>
      <c r="J6" s="18"/>
      <c r="K6" s="18"/>
      <c r="L6" s="18"/>
    </row>
    <row r="7" customFormat="false" ht="15" hidden="false" customHeight="false" outlineLevel="0" collapsed="false">
      <c r="A7" s="7" t="s">
        <v>26</v>
      </c>
      <c r="B7" s="19" t="s">
        <v>25</v>
      </c>
      <c r="C7" s="18"/>
      <c r="D7" s="20" t="s">
        <v>140</v>
      </c>
      <c r="E7" s="18"/>
      <c r="F7" s="18"/>
      <c r="G7" s="18"/>
      <c r="H7" s="18"/>
      <c r="I7" s="18"/>
      <c r="J7" s="18"/>
      <c r="K7" s="18"/>
      <c r="L7" s="18"/>
    </row>
    <row r="8" customFormat="false" ht="15" hidden="false" customHeight="false" outlineLevel="0" collapsed="false">
      <c r="A8" s="7" t="s">
        <v>29</v>
      </c>
      <c r="B8" s="19" t="s">
        <v>25</v>
      </c>
      <c r="C8" s="18"/>
      <c r="D8" s="20" t="s">
        <v>140</v>
      </c>
      <c r="E8" s="18"/>
      <c r="F8" s="18"/>
      <c r="G8" s="18"/>
      <c r="H8" s="18"/>
      <c r="I8" s="18"/>
      <c r="J8" s="18"/>
      <c r="K8" s="18"/>
      <c r="L8" s="18"/>
    </row>
    <row r="9" customFormat="false" ht="15" hidden="false" customHeight="false" outlineLevel="0" collapsed="false">
      <c r="A9" s="7" t="s">
        <v>32</v>
      </c>
      <c r="B9" s="19" t="s">
        <v>25</v>
      </c>
      <c r="C9" s="18"/>
      <c r="D9" s="20" t="s">
        <v>140</v>
      </c>
      <c r="E9" s="18"/>
      <c r="F9" s="18"/>
      <c r="G9" s="18"/>
      <c r="H9" s="18"/>
      <c r="I9" s="18"/>
      <c r="J9" s="18"/>
      <c r="K9" s="18"/>
      <c r="L9" s="18"/>
    </row>
    <row r="10" customFormat="false" ht="15" hidden="false" customHeight="false" outlineLevel="0" collapsed="false">
      <c r="A10" s="7" t="s">
        <v>36</v>
      </c>
      <c r="B10" s="19" t="s">
        <v>25</v>
      </c>
      <c r="C10" s="18"/>
      <c r="D10" s="20" t="s">
        <v>140</v>
      </c>
      <c r="E10" s="18"/>
      <c r="F10" s="18"/>
      <c r="G10" s="18"/>
      <c r="H10" s="18"/>
      <c r="I10" s="18"/>
      <c r="J10" s="18"/>
      <c r="K10" s="18"/>
      <c r="L10" s="18"/>
    </row>
    <row r="11" customFormat="false" ht="15" hidden="false" customHeight="false" outlineLevel="0" collapsed="false">
      <c r="A11" s="7" t="s">
        <v>41</v>
      </c>
      <c r="B11" s="21" t="s">
        <v>40</v>
      </c>
      <c r="C11" s="18"/>
      <c r="D11" s="18"/>
      <c r="E11" s="22" t="s">
        <v>140</v>
      </c>
      <c r="F11" s="18"/>
      <c r="G11" s="18"/>
      <c r="H11" s="18"/>
      <c r="I11" s="18"/>
      <c r="J11" s="18"/>
      <c r="K11" s="18"/>
      <c r="L11" s="18"/>
    </row>
    <row r="12" customFormat="false" ht="15" hidden="false" customHeight="false" outlineLevel="0" collapsed="false">
      <c r="A12" s="7" t="s">
        <v>44</v>
      </c>
      <c r="B12" s="21" t="s">
        <v>40</v>
      </c>
      <c r="C12" s="18"/>
      <c r="D12" s="18"/>
      <c r="E12" s="22" t="s">
        <v>140</v>
      </c>
      <c r="F12" s="18"/>
      <c r="G12" s="18"/>
      <c r="H12" s="18"/>
      <c r="I12" s="18"/>
      <c r="J12" s="18"/>
      <c r="K12" s="18"/>
      <c r="L12" s="18"/>
    </row>
    <row r="13" customFormat="false" ht="15" hidden="false" customHeight="false" outlineLevel="0" collapsed="false">
      <c r="A13" s="7" t="s">
        <v>47</v>
      </c>
      <c r="B13" s="21" t="s">
        <v>40</v>
      </c>
      <c r="C13" s="18"/>
      <c r="D13" s="18"/>
      <c r="E13" s="22" t="s">
        <v>140</v>
      </c>
      <c r="F13" s="18"/>
      <c r="G13" s="18"/>
      <c r="H13" s="18"/>
      <c r="I13" s="18"/>
      <c r="J13" s="18"/>
      <c r="K13" s="18"/>
      <c r="L13" s="18"/>
    </row>
    <row r="14" customFormat="false" ht="15" hidden="false" customHeight="false" outlineLevel="0" collapsed="false">
      <c r="A14" s="7" t="s">
        <v>52</v>
      </c>
      <c r="B14" s="23" t="s">
        <v>51</v>
      </c>
      <c r="C14" s="18"/>
      <c r="D14" s="18"/>
      <c r="E14" s="18"/>
      <c r="F14" s="24" t="s">
        <v>140</v>
      </c>
      <c r="G14" s="18"/>
      <c r="H14" s="18"/>
      <c r="I14" s="18"/>
      <c r="J14" s="18"/>
      <c r="K14" s="18"/>
      <c r="L14" s="18"/>
    </row>
    <row r="15" customFormat="false" ht="15" hidden="false" customHeight="false" outlineLevel="0" collapsed="false">
      <c r="A15" s="7" t="s">
        <v>55</v>
      </c>
      <c r="B15" s="23" t="s">
        <v>51</v>
      </c>
      <c r="C15" s="18"/>
      <c r="D15" s="18"/>
      <c r="E15" s="18"/>
      <c r="F15" s="24" t="s">
        <v>140</v>
      </c>
      <c r="G15" s="18"/>
      <c r="H15" s="18"/>
      <c r="I15" s="18"/>
      <c r="J15" s="18"/>
      <c r="K15" s="18"/>
      <c r="L15" s="18"/>
    </row>
    <row r="16" customFormat="false" ht="15" hidden="false" customHeight="false" outlineLevel="0" collapsed="false">
      <c r="A16" s="7" t="s">
        <v>59</v>
      </c>
      <c r="B16" s="23" t="s">
        <v>51</v>
      </c>
      <c r="C16" s="18"/>
      <c r="D16" s="18"/>
      <c r="E16" s="18"/>
      <c r="F16" s="24" t="s">
        <v>140</v>
      </c>
      <c r="G16" s="18"/>
      <c r="H16" s="18"/>
      <c r="I16" s="18"/>
      <c r="J16" s="18"/>
      <c r="K16" s="18"/>
      <c r="L16" s="18"/>
    </row>
    <row r="17" customFormat="false" ht="15" hidden="false" customHeight="false" outlineLevel="0" collapsed="false">
      <c r="A17" s="7" t="s">
        <v>63</v>
      </c>
      <c r="B17" s="23" t="s">
        <v>51</v>
      </c>
      <c r="C17" s="18"/>
      <c r="D17" s="18"/>
      <c r="E17" s="18"/>
      <c r="F17" s="24" t="s">
        <v>140</v>
      </c>
      <c r="G17" s="18"/>
      <c r="H17" s="18"/>
      <c r="I17" s="18"/>
      <c r="J17" s="18"/>
      <c r="K17" s="18"/>
      <c r="L17" s="18"/>
    </row>
    <row r="18" customFormat="false" ht="15" hidden="false" customHeight="false" outlineLevel="0" collapsed="false">
      <c r="A18" s="7" t="s">
        <v>67</v>
      </c>
      <c r="B18" s="25" t="s">
        <v>66</v>
      </c>
      <c r="C18" s="18"/>
      <c r="D18" s="18"/>
      <c r="E18" s="18"/>
      <c r="F18" s="26" t="s">
        <v>140</v>
      </c>
      <c r="G18" s="18"/>
      <c r="H18" s="18"/>
      <c r="I18" s="18"/>
      <c r="J18" s="18"/>
      <c r="K18" s="18"/>
      <c r="L18" s="18"/>
    </row>
    <row r="19" customFormat="false" ht="15" hidden="false" customHeight="false" outlineLevel="0" collapsed="false">
      <c r="A19" s="7" t="s">
        <v>72</v>
      </c>
      <c r="B19" s="23" t="s">
        <v>51</v>
      </c>
      <c r="C19" s="18"/>
      <c r="D19" s="18"/>
      <c r="E19" s="18"/>
      <c r="F19" s="18"/>
      <c r="G19" s="24" t="s">
        <v>140</v>
      </c>
      <c r="H19" s="18"/>
      <c r="I19" s="18"/>
      <c r="J19" s="18"/>
      <c r="K19" s="18"/>
      <c r="L19" s="18"/>
    </row>
    <row r="20" customFormat="false" ht="15" hidden="false" customHeight="false" outlineLevel="0" collapsed="false">
      <c r="A20" s="7" t="s">
        <v>74</v>
      </c>
      <c r="B20" s="23" t="s">
        <v>51</v>
      </c>
      <c r="C20" s="18"/>
      <c r="D20" s="18"/>
      <c r="E20" s="18"/>
      <c r="F20" s="18"/>
      <c r="G20" s="24" t="s">
        <v>140</v>
      </c>
      <c r="H20" s="18"/>
      <c r="I20" s="18"/>
      <c r="J20" s="18"/>
      <c r="K20" s="18"/>
      <c r="L20" s="18"/>
    </row>
    <row r="21" customFormat="false" ht="15" hidden="false" customHeight="false" outlineLevel="0" collapsed="false">
      <c r="A21" s="7" t="s">
        <v>76</v>
      </c>
      <c r="B21" s="23" t="s">
        <v>51</v>
      </c>
      <c r="C21" s="18"/>
      <c r="D21" s="18"/>
      <c r="E21" s="18"/>
      <c r="F21" s="18"/>
      <c r="G21" s="24" t="s">
        <v>140</v>
      </c>
      <c r="H21" s="18"/>
      <c r="I21" s="18"/>
      <c r="J21" s="18"/>
      <c r="K21" s="18"/>
      <c r="L21" s="18"/>
    </row>
    <row r="22" customFormat="false" ht="15" hidden="false" customHeight="false" outlineLevel="0" collapsed="false">
      <c r="A22" s="7" t="s">
        <v>80</v>
      </c>
      <c r="B22" s="25" t="s">
        <v>66</v>
      </c>
      <c r="C22" s="18"/>
      <c r="D22" s="18"/>
      <c r="E22" s="18"/>
      <c r="F22" s="18"/>
      <c r="G22" s="26" t="s">
        <v>140</v>
      </c>
      <c r="H22" s="18"/>
      <c r="I22" s="18"/>
      <c r="J22" s="18"/>
      <c r="K22" s="18"/>
      <c r="L22" s="18"/>
    </row>
    <row r="23" customFormat="false" ht="15" hidden="false" customHeight="false" outlineLevel="0" collapsed="false">
      <c r="A23" s="7" t="s">
        <v>86</v>
      </c>
      <c r="B23" s="23" t="s">
        <v>51</v>
      </c>
      <c r="C23" s="18"/>
      <c r="D23" s="18"/>
      <c r="E23" s="18"/>
      <c r="F23" s="18"/>
      <c r="G23" s="18"/>
      <c r="H23" s="24" t="s">
        <v>140</v>
      </c>
      <c r="I23" s="18"/>
      <c r="J23" s="18"/>
      <c r="K23" s="18"/>
      <c r="L23" s="18"/>
    </row>
    <row r="24" customFormat="false" ht="15" hidden="false" customHeight="false" outlineLevel="0" collapsed="false">
      <c r="A24" s="7" t="s">
        <v>88</v>
      </c>
      <c r="B24" s="23" t="s">
        <v>51</v>
      </c>
      <c r="C24" s="18"/>
      <c r="D24" s="18"/>
      <c r="E24" s="18"/>
      <c r="F24" s="18"/>
      <c r="G24" s="18"/>
      <c r="H24" s="24" t="s">
        <v>140</v>
      </c>
      <c r="I24" s="18"/>
      <c r="J24" s="18"/>
      <c r="K24" s="18"/>
      <c r="L24" s="18"/>
    </row>
    <row r="25" customFormat="false" ht="15" hidden="false" customHeight="false" outlineLevel="0" collapsed="false">
      <c r="A25" s="7" t="s">
        <v>90</v>
      </c>
      <c r="B25" s="23" t="s">
        <v>51</v>
      </c>
      <c r="C25" s="18"/>
      <c r="D25" s="18"/>
      <c r="E25" s="18"/>
      <c r="F25" s="18"/>
      <c r="G25" s="18"/>
      <c r="H25" s="24" t="s">
        <v>140</v>
      </c>
      <c r="I25" s="18"/>
      <c r="J25" s="18"/>
      <c r="K25" s="18"/>
      <c r="L25" s="18"/>
    </row>
    <row r="26" customFormat="false" ht="15" hidden="false" customHeight="false" outlineLevel="0" collapsed="false">
      <c r="A26" s="7" t="s">
        <v>93</v>
      </c>
      <c r="B26" s="25" t="s">
        <v>66</v>
      </c>
      <c r="C26" s="18"/>
      <c r="D26" s="18"/>
      <c r="E26" s="18"/>
      <c r="F26" s="18"/>
      <c r="G26" s="18"/>
      <c r="H26" s="26" t="s">
        <v>140</v>
      </c>
      <c r="I26" s="18"/>
      <c r="J26" s="18"/>
      <c r="K26" s="18"/>
      <c r="L26" s="18"/>
    </row>
    <row r="27" customFormat="false" ht="15" hidden="false" customHeight="false" outlineLevel="0" collapsed="false">
      <c r="A27" s="7" t="s">
        <v>97</v>
      </c>
      <c r="B27" s="27" t="s">
        <v>96</v>
      </c>
      <c r="C27" s="18"/>
      <c r="D27" s="18"/>
      <c r="E27" s="18"/>
      <c r="F27" s="18"/>
      <c r="G27" s="18"/>
      <c r="H27" s="18"/>
      <c r="I27" s="28" t="s">
        <v>140</v>
      </c>
      <c r="J27" s="18"/>
      <c r="K27" s="18"/>
      <c r="L27" s="18"/>
    </row>
    <row r="28" customFormat="false" ht="15" hidden="false" customHeight="false" outlineLevel="0" collapsed="false">
      <c r="A28" s="7" t="s">
        <v>102</v>
      </c>
      <c r="B28" s="29" t="s">
        <v>101</v>
      </c>
      <c r="C28" s="18"/>
      <c r="D28" s="18"/>
      <c r="E28" s="18"/>
      <c r="F28" s="18"/>
      <c r="G28" s="18"/>
      <c r="H28" s="18"/>
      <c r="I28" s="18"/>
      <c r="J28" s="30" t="s">
        <v>140</v>
      </c>
      <c r="K28" s="18"/>
      <c r="L28" s="18"/>
    </row>
    <row r="29" customFormat="false" ht="15" hidden="false" customHeight="false" outlineLevel="0" collapsed="false">
      <c r="A29" s="7" t="s">
        <v>105</v>
      </c>
      <c r="B29" s="29" t="s">
        <v>101</v>
      </c>
      <c r="C29" s="18"/>
      <c r="D29" s="18"/>
      <c r="E29" s="18"/>
      <c r="F29" s="18"/>
      <c r="G29" s="18"/>
      <c r="H29" s="18"/>
      <c r="I29" s="18"/>
      <c r="J29" s="30" t="s">
        <v>140</v>
      </c>
      <c r="K29" s="18"/>
      <c r="L29" s="18"/>
    </row>
    <row r="30" customFormat="false" ht="15" hidden="false" customHeight="false" outlineLevel="0" collapsed="false">
      <c r="A30" s="7" t="s">
        <v>108</v>
      </c>
      <c r="B30" s="29" t="s">
        <v>101</v>
      </c>
      <c r="C30" s="18"/>
      <c r="D30" s="18"/>
      <c r="E30" s="18"/>
      <c r="F30" s="18"/>
      <c r="G30" s="18"/>
      <c r="H30" s="18"/>
      <c r="I30" s="18"/>
      <c r="J30" s="30" t="s">
        <v>140</v>
      </c>
      <c r="K30" s="18"/>
      <c r="L30" s="18"/>
    </row>
    <row r="31" customFormat="false" ht="15" hidden="false" customHeight="false" outlineLevel="0" collapsed="false">
      <c r="A31" s="7" t="s">
        <v>111</v>
      </c>
      <c r="B31" s="29" t="s">
        <v>101</v>
      </c>
      <c r="C31" s="18"/>
      <c r="D31" s="18"/>
      <c r="E31" s="18"/>
      <c r="F31" s="18"/>
      <c r="G31" s="18"/>
      <c r="H31" s="18"/>
      <c r="I31" s="18"/>
      <c r="J31" s="18"/>
      <c r="K31" s="30" t="s">
        <v>140</v>
      </c>
      <c r="L31" s="18"/>
    </row>
    <row r="32" customFormat="false" ht="15" hidden="false" customHeight="false" outlineLevel="0" collapsed="false">
      <c r="A32" s="7" t="s">
        <v>114</v>
      </c>
      <c r="B32" s="29" t="s">
        <v>101</v>
      </c>
      <c r="C32" s="18"/>
      <c r="D32" s="18"/>
      <c r="E32" s="18"/>
      <c r="F32" s="18"/>
      <c r="G32" s="18"/>
      <c r="H32" s="18"/>
      <c r="I32" s="18"/>
      <c r="J32" s="18"/>
      <c r="K32" s="30" t="s">
        <v>140</v>
      </c>
      <c r="L32" s="18"/>
    </row>
    <row r="33" customFormat="false" ht="15" hidden="false" customHeight="false" outlineLevel="0" collapsed="false">
      <c r="A33" s="7" t="s">
        <v>117</v>
      </c>
      <c r="B33" s="29" t="s">
        <v>101</v>
      </c>
      <c r="C33" s="18"/>
      <c r="D33" s="18"/>
      <c r="E33" s="18"/>
      <c r="F33" s="18"/>
      <c r="G33" s="18"/>
      <c r="H33" s="18"/>
      <c r="I33" s="18"/>
      <c r="J33" s="18"/>
      <c r="K33" s="30" t="s">
        <v>140</v>
      </c>
      <c r="L33" s="18"/>
    </row>
    <row r="34" customFormat="false" ht="15" hidden="false" customHeight="false" outlineLevel="0" collapsed="false">
      <c r="A34" s="7" t="s">
        <v>120</v>
      </c>
      <c r="B34" s="29" t="s">
        <v>101</v>
      </c>
      <c r="C34" s="18"/>
      <c r="D34" s="18"/>
      <c r="E34" s="18"/>
      <c r="F34" s="18"/>
      <c r="G34" s="18"/>
      <c r="H34" s="18"/>
      <c r="I34" s="18"/>
      <c r="J34" s="18"/>
      <c r="K34" s="18"/>
      <c r="L34" s="30" t="s">
        <v>140</v>
      </c>
    </row>
    <row r="35" customFormat="false" ht="15" hidden="false" customHeight="false" outlineLevel="0" collapsed="false">
      <c r="A35" s="7" t="s">
        <v>124</v>
      </c>
      <c r="B35" s="29" t="s">
        <v>101</v>
      </c>
      <c r="C35" s="18"/>
      <c r="D35" s="18"/>
      <c r="E35" s="18"/>
      <c r="F35" s="18"/>
      <c r="G35" s="18"/>
      <c r="H35" s="18"/>
      <c r="I35" s="18"/>
      <c r="J35" s="18"/>
      <c r="K35" s="18"/>
      <c r="L35" s="30" t="s">
        <v>140</v>
      </c>
    </row>
    <row r="36" customFormat="false" ht="15" hidden="false" customHeight="false" outlineLevel="0" collapsed="false">
      <c r="A36" s="7" t="s">
        <v>126</v>
      </c>
      <c r="B36" s="29" t="s">
        <v>101</v>
      </c>
      <c r="C36" s="18"/>
      <c r="D36" s="18"/>
      <c r="E36" s="18"/>
      <c r="F36" s="18"/>
      <c r="G36" s="18"/>
      <c r="H36" s="18"/>
      <c r="I36" s="18"/>
      <c r="J36" s="18"/>
      <c r="K36" s="18"/>
      <c r="L36" s="30" t="s">
        <v>140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141</v>
      </c>
      <c r="B1" s="1"/>
      <c r="C1" s="1"/>
      <c r="D1" s="1"/>
    </row>
    <row r="3" customFormat="false" ht="15" hidden="false" customHeight="false" outlineLevel="0" collapsed="false">
      <c r="A3" s="31" t="s">
        <v>142</v>
      </c>
    </row>
    <row r="4" customFormat="false" ht="15" hidden="false" customHeight="false" outlineLevel="0" collapsed="false">
      <c r="A4" s="3" t="s">
        <v>5</v>
      </c>
      <c r="B4" s="3" t="s">
        <v>143</v>
      </c>
      <c r="C4" s="3" t="s">
        <v>8</v>
      </c>
      <c r="D4" s="3" t="s">
        <v>144</v>
      </c>
    </row>
    <row r="5" customFormat="false" ht="15" hidden="false" customHeight="false" outlineLevel="0" collapsed="false">
      <c r="A5" s="6" t="s">
        <v>13</v>
      </c>
      <c r="B5" s="4" t="n">
        <v>3</v>
      </c>
      <c r="C5" s="4" t="n">
        <v>6</v>
      </c>
      <c r="D5" s="32" t="n">
        <f aca="false">C5/SUM($C$5:$C$11)</f>
        <v>0.0833333333333333</v>
      </c>
    </row>
    <row r="6" customFormat="false" ht="15" hidden="false" customHeight="false" outlineLevel="0" collapsed="false">
      <c r="A6" s="8" t="s">
        <v>25</v>
      </c>
      <c r="B6" s="4" t="n">
        <v>4</v>
      </c>
      <c r="C6" s="4" t="n">
        <v>7</v>
      </c>
      <c r="D6" s="32" t="n">
        <f aca="false">C6/SUM($C$5:$C$11)</f>
        <v>0.0972222222222222</v>
      </c>
    </row>
    <row r="7" customFormat="false" ht="15" hidden="false" customHeight="false" outlineLevel="0" collapsed="false">
      <c r="A7" s="9" t="s">
        <v>40</v>
      </c>
      <c r="B7" s="4" t="n">
        <v>3</v>
      </c>
      <c r="C7" s="4" t="n">
        <v>7</v>
      </c>
      <c r="D7" s="32" t="n">
        <f aca="false">C7/SUM($C$5:$C$11)</f>
        <v>0.0972222222222222</v>
      </c>
    </row>
    <row r="8" customFormat="false" ht="15" hidden="false" customHeight="false" outlineLevel="0" collapsed="false">
      <c r="A8" s="10" t="s">
        <v>51</v>
      </c>
      <c r="B8" s="4" t="n">
        <v>10</v>
      </c>
      <c r="C8" s="4" t="n">
        <v>18</v>
      </c>
      <c r="D8" s="32" t="n">
        <f aca="false">C8/SUM($C$5:$C$11)</f>
        <v>0.25</v>
      </c>
    </row>
    <row r="9" customFormat="false" ht="15" hidden="false" customHeight="false" outlineLevel="0" collapsed="false">
      <c r="A9" s="11" t="s">
        <v>66</v>
      </c>
      <c r="B9" s="4" t="n">
        <v>3</v>
      </c>
      <c r="C9" s="4" t="n">
        <v>6</v>
      </c>
      <c r="D9" s="32" t="n">
        <f aca="false">C9/SUM($C$5:$C$11)</f>
        <v>0.0833333333333333</v>
      </c>
    </row>
    <row r="10" customFormat="false" ht="15" hidden="false" customHeight="false" outlineLevel="0" collapsed="false">
      <c r="A10" s="13" t="s">
        <v>101</v>
      </c>
      <c r="B10" s="4" t="n">
        <v>9</v>
      </c>
      <c r="C10" s="4" t="n">
        <v>20</v>
      </c>
      <c r="D10" s="32" t="n">
        <f aca="false">C10/SUM($C$5:$C$11)</f>
        <v>0.277777777777778</v>
      </c>
    </row>
    <row r="11" customFormat="false" ht="15" hidden="false" customHeight="false" outlineLevel="0" collapsed="false">
      <c r="A11" s="12" t="s">
        <v>96</v>
      </c>
      <c r="B11" s="4" t="n">
        <v>1</v>
      </c>
      <c r="C11" s="4" t="n">
        <v>8</v>
      </c>
      <c r="D11" s="32" t="n">
        <f aca="false">C11/SUM($C$5:$C$11)</f>
        <v>0.111111111111111</v>
      </c>
    </row>
    <row r="12" customFormat="false" ht="15" hidden="false" customHeight="false" outlineLevel="0" collapsed="false">
      <c r="A12" s="33" t="s">
        <v>145</v>
      </c>
      <c r="B12" s="33" t="n">
        <f aca="false">SUM(B5:B11)</f>
        <v>33</v>
      </c>
      <c r="C12" s="34" t="n">
        <f aca="false">SUM(C5:C11)</f>
        <v>72</v>
      </c>
      <c r="D12" s="35" t="n">
        <f aca="false">SUM(D5:D11)</f>
        <v>1</v>
      </c>
    </row>
    <row r="15" customFormat="false" ht="15" hidden="false" customHeight="false" outlineLevel="0" collapsed="false">
      <c r="A15" s="31" t="s">
        <v>146</v>
      </c>
    </row>
    <row r="16" customFormat="false" ht="15" hidden="false" customHeight="false" outlineLevel="0" collapsed="false">
      <c r="A16" s="3" t="s">
        <v>10</v>
      </c>
      <c r="B16" s="3" t="s">
        <v>147</v>
      </c>
    </row>
    <row r="17" customFormat="false" ht="15" hidden="false" customHeight="false" outlineLevel="0" collapsed="false">
      <c r="A17" s="36" t="s">
        <v>148</v>
      </c>
      <c r="B17" s="4" t="s">
        <v>149</v>
      </c>
    </row>
    <row r="18" customFormat="false" ht="15" hidden="false" customHeight="false" outlineLevel="0" collapsed="false">
      <c r="A18" s="36" t="s">
        <v>150</v>
      </c>
      <c r="B18" s="4" t="s">
        <v>149</v>
      </c>
    </row>
    <row r="19" customFormat="false" ht="15" hidden="false" customHeight="false" outlineLevel="0" collapsed="false">
      <c r="A19" s="36" t="s">
        <v>151</v>
      </c>
      <c r="B19" s="4" t="s">
        <v>152</v>
      </c>
    </row>
    <row r="20" customFormat="false" ht="15" hidden="false" customHeight="false" outlineLevel="0" collapsed="false">
      <c r="A20" s="36" t="s">
        <v>153</v>
      </c>
      <c r="B20" s="4" t="s">
        <v>152</v>
      </c>
    </row>
    <row r="21" customFormat="false" ht="15" hidden="false" customHeight="false" outlineLevel="0" collapsed="false">
      <c r="A21" s="36" t="s">
        <v>154</v>
      </c>
      <c r="B21" s="4" t="s">
        <v>155</v>
      </c>
    </row>
    <row r="22" customFormat="false" ht="15" hidden="false" customHeight="false" outlineLevel="0" collapsed="false">
      <c r="A22" s="36" t="s">
        <v>104</v>
      </c>
      <c r="B22" s="4" t="s">
        <v>156</v>
      </c>
    </row>
    <row r="23" customFormat="false" ht="15" hidden="false" customHeight="false" outlineLevel="0" collapsed="false">
      <c r="A23" s="36" t="s">
        <v>157</v>
      </c>
      <c r="B23" s="4" t="s">
        <v>158</v>
      </c>
    </row>
    <row r="24" customFormat="false" ht="15" hidden="false" customHeight="false" outlineLevel="0" collapsed="false">
      <c r="A24" s="36" t="s">
        <v>159</v>
      </c>
      <c r="B24" s="4" t="s">
        <v>158</v>
      </c>
    </row>
    <row r="27" customFormat="false" ht="15" hidden="false" customHeight="false" outlineLevel="0" collapsed="false">
      <c r="A27" s="31" t="s">
        <v>160</v>
      </c>
    </row>
    <row r="28" customFormat="false" ht="15" hidden="false" customHeight="false" outlineLevel="0" collapsed="false">
      <c r="A28" s="3" t="s">
        <v>161</v>
      </c>
      <c r="B28" s="3" t="s">
        <v>162</v>
      </c>
      <c r="C28" s="3" t="s">
        <v>163</v>
      </c>
      <c r="D28" s="3" t="s">
        <v>164</v>
      </c>
    </row>
    <row r="29" customFormat="false" ht="15" hidden="false" customHeight="false" outlineLevel="0" collapsed="false">
      <c r="A29" s="7" t="s">
        <v>165</v>
      </c>
      <c r="B29" s="4" t="s">
        <v>166</v>
      </c>
      <c r="C29" s="4" t="s">
        <v>167</v>
      </c>
      <c r="D29" s="7" t="s">
        <v>168</v>
      </c>
    </row>
    <row r="30" customFormat="false" ht="20.85" hidden="false" customHeight="false" outlineLevel="0" collapsed="false">
      <c r="A30" s="7" t="s">
        <v>169</v>
      </c>
      <c r="B30" s="4" t="s">
        <v>167</v>
      </c>
      <c r="C30" s="4" t="s">
        <v>167</v>
      </c>
      <c r="D30" s="7" t="s">
        <v>170</v>
      </c>
    </row>
    <row r="31" customFormat="false" ht="20.85" hidden="false" customHeight="false" outlineLevel="0" collapsed="false">
      <c r="A31" s="7" t="s">
        <v>171</v>
      </c>
      <c r="B31" s="4" t="s">
        <v>167</v>
      </c>
      <c r="C31" s="4" t="s">
        <v>166</v>
      </c>
      <c r="D31" s="7" t="s">
        <v>172</v>
      </c>
    </row>
    <row r="32" customFormat="false" ht="15" hidden="false" customHeight="false" outlineLevel="0" collapsed="false">
      <c r="A32" s="7" t="s">
        <v>173</v>
      </c>
      <c r="B32" s="4" t="s">
        <v>174</v>
      </c>
      <c r="C32" s="4" t="s">
        <v>166</v>
      </c>
      <c r="D32" s="7" t="s">
        <v>175</v>
      </c>
    </row>
    <row r="33" customFormat="false" ht="15" hidden="false" customHeight="false" outlineLevel="0" collapsed="false">
      <c r="A33" s="7" t="s">
        <v>176</v>
      </c>
      <c r="B33" s="4" t="s">
        <v>174</v>
      </c>
      <c r="C33" s="4" t="s">
        <v>166</v>
      </c>
      <c r="D33" s="7" t="s">
        <v>177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2026-04-18T01:17:28Z</dcterms:created>
  <dc:creator>openpyxl</dc:creator>
  <dc:description/>
  <dc:language>en-US</dc:language>
  <cp:lastModifiedBy/>
  <dcterms:modified xsi:type="dcterms:W3CDTF">2026-04-18T01:17:28Z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